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mc:AlternateContent xmlns:mc="http://schemas.openxmlformats.org/markup-compatibility/2006">
    <mc:Choice Requires="x15">
      <x15ac:absPath xmlns:x15ac="http://schemas.microsoft.com/office/spreadsheetml/2010/11/ac" url="/Users/a167881/Desktop/"/>
    </mc:Choice>
  </mc:AlternateContent>
  <xr:revisionPtr revIDLastSave="0" documentId="8_{28752FB8-1E7E-452C-863E-45519F4031D5}" xr6:coauthVersionLast="47" xr6:coauthVersionMax="47" xr10:uidLastSave="{00000000-0000-0000-0000-000000000000}"/>
  <bookViews>
    <workbookView xWindow="38860" yWindow="720" windowWidth="27600" windowHeight="16940" xr2:uid="{C3A1E557-F3F6-0A4F-BDD7-D930EB2CED2B}"/>
  </bookViews>
  <sheets>
    <sheet name="Sheet1" sheetId="1" r:id="rId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9" i="1" l="1"/>
  <c r="V25" i="1"/>
</calcChain>
</file>

<file path=xl/sharedStrings.xml><?xml version="1.0" encoding="utf-8"?>
<sst xmlns="http://schemas.openxmlformats.org/spreadsheetml/2006/main" count="433" uniqueCount="241">
  <si>
    <t>lineofBusiness</t>
  </si>
  <si>
    <t>Parent Status (Grouping)</t>
  </si>
  <si>
    <t>Child status (Badge)</t>
  </si>
  <si>
    <t>Sub Status (Description)</t>
  </si>
  <si>
    <t>in_production</t>
  </si>
  <si>
    <t>ruleId</t>
  </si>
  <si>
    <t>Rx Rule Name</t>
  </si>
  <si>
    <t>Orders Rule Name</t>
  </si>
  <si>
    <t>Actionable</t>
  </si>
  <si>
    <t>Refill Eligible</t>
  </si>
  <si>
    <t>Chart grouping 2</t>
  </si>
  <si>
    <t>Rule conditions</t>
  </si>
  <si>
    <t>Priority</t>
  </si>
  <si>
    <t>Rollup Key</t>
  </si>
  <si>
    <t>Sort Index</t>
  </si>
  <si>
    <t>Change Log</t>
  </si>
  <si>
    <t>Deployment Date</t>
  </si>
  <si>
    <t>Comments</t>
  </si>
  <si>
    <t>Rally</t>
  </si>
  <si>
    <t>Stage of Update</t>
  </si>
  <si>
    <t>Target Deployment</t>
  </si>
  <si>
    <t>Self Service Options</t>
  </si>
  <si>
    <t>Chart grouping 1</t>
  </si>
  <si>
    <t>Caremark</t>
  </si>
  <si>
    <t>Delayed</t>
  </si>
  <si>
    <t>We need your help</t>
  </si>
  <si>
    <t xml:space="preserve">This medication is not covered by your plan. We've tried to contact your prescriber for an alternative prescription. To avoid further delays, ask your prescriber to contact CVS Caremark Mail Service Pharmacy.  </t>
  </si>
  <si>
    <t>checked</t>
  </si>
  <si>
    <t>delayed_not_covered_rc92</t>
  </si>
  <si>
    <t>DELAYED_NOT_COVERED_RC92</t>
  </si>
  <si>
    <t>fillStatusReasonCode = 92</t>
  </si>
  <si>
    <t>Shipment delayed</t>
  </si>
  <si>
    <t>You can now expect your delivery by {{estimatedDeliveryDate}}</t>
  </si>
  <si>
    <t>shipment_delayed_rc8_42_date_reason</t>
  </si>
  <si>
    <t>SHIPMENT_DELAYED_RC8_42_DATE_REASON</t>
  </si>
  <si>
    <t>fillStatusReasonCode = 8,42
AND estimatedDeliveryDate != NULL
AND any of the following denial reason codes: S01, S02, F01, U01, U02, U03, U04, U05, U06, U07, U08, U09, U10, U11, U12, U13, U14, U15, U16
AND hasDelayed = true</t>
  </si>
  <si>
    <t>11-6: Updated priority value to make room for transient cache priority.</t>
  </si>
  <si>
    <t>Authorization required</t>
  </si>
  <si>
    <t>Your insurance requires prior authorization or a different treatment plan. We've reached out to your prescriber, but they haven't responded. Please contact them.</t>
  </si>
  <si>
    <t>pa_no_response_rc30</t>
  </si>
  <si>
    <t>PA_NO_RESPONSE_RC30</t>
  </si>
  <si>
    <t>fillStatusReasonCode = 30</t>
  </si>
  <si>
    <t xml:space="preserve">This medication is out of stock and we don't know when it'll be available. We've contacted your prescriber for a different medication. To avoid further delays, ask your prescriber to contact CVS Caremark Mail Service Pharmacy.  </t>
  </si>
  <si>
    <t>delayed_not_available_rc93</t>
  </si>
  <si>
    <t>DELAYED_NOT_AVAILABLE_RC93</t>
  </si>
  <si>
    <t>fillStatusReasonCode = 93</t>
  </si>
  <si>
    <t>Your prescription has no more refills. We've tried to contact your prescriber for a new prescription. To avoid further delays, ask your prescriber to contact CVS Caremark Mail Service Pharmacy.</t>
  </si>
  <si>
    <t>delayed_nofills_rc91</t>
  </si>
  <si>
    <t>DELAYED_NOFILLS_RC91</t>
  </si>
  <si>
    <t>fillStatusReasonCode = 91</t>
  </si>
  <si>
    <t>Preparing</t>
  </si>
  <si>
    <t xml:space="preserve">Our pharmacy team is reviewing your order. Check back for updates. </t>
  </si>
  <si>
    <t>under_review_rc104_106_107</t>
  </si>
  <si>
    <t>UNDER_REVIEW_RC104_106_107</t>
  </si>
  <si>
    <t>We're working on it</t>
  </si>
  <si>
    <t>fillStatusReasonCode = 104,106,107</t>
  </si>
  <si>
    <t>4-2: Updated child status and sub status to align with order status.</t>
  </si>
  <si>
    <t>deployed to prod</t>
  </si>
  <si>
    <t>CMK_copy_Mar_2025</t>
  </si>
  <si>
    <t>Fillable</t>
  </si>
  <si>
    <t>Order this prescription now to be filled on {{scheduleDate}}.</t>
  </si>
  <si>
    <t>future_fill_available_for_refill</t>
  </si>
  <si>
    <t>FUTURE_FILL_AVAILABLE_FOR_REFILL</t>
  </si>
  <si>
    <t>Fillable - Future fill</t>
  </si>
  <si>
    <t>refillable = true
AND scheduleDate &gt; today</t>
  </si>
  <si>
    <t>10-18: Added check for scheduleDate in the future to differentiate from rule 7. Deployed to prod on 10-18.
10-21: Updated child status to Available for refill. Re-named from 'Rule 6: Due for refill'
11-6: Updated priority value from 2 to 3 to make room for transient cache priority.
1-2: Lowered priority value to 220 so that order status rules trigger in front of this rule.
4-15: Updated child status and sub status to be consistent with retail 24A rule.</t>
  </si>
  <si>
    <t>US1978448</t>
  </si>
  <si>
    <t>future_fill_fast_track</t>
  </si>
  <si>
    <t>Not fillable</t>
  </si>
  <si>
    <t>This prescription is not eligible for renewal. Please contact your prescriber to discuss your options.</t>
  </si>
  <si>
    <t>not_eligible_for_renewal_inactive</t>
  </si>
  <si>
    <t>NOT_ELIGIBLE_FOR_RENEWAL_INACTIVE</t>
  </si>
  <si>
    <t>Inactive</t>
  </si>
  <si>
    <t>rxStatus = INACTIVE
AND rxState = 2
AND requestable = FALSE
AND (expirationDate &lt;= today OR refillsRemaining = 0)
AND fillStatusReasonCode = 49</t>
  </si>
  <si>
    <t>11-12: New rule to account for when rxStatus = Inactive.</t>
  </si>
  <si>
    <t>DE32278,US1959134</t>
  </si>
  <si>
    <t>This medication is not eligible for refill because it is a controlled substance. Please contact your prescriber to obtain a new prescription.</t>
  </si>
  <si>
    <t>16A</t>
  </si>
  <si>
    <t>Rule 16A: Rx status is inactive and dea class code is 2</t>
  </si>
  <si>
    <t>rxStatus = Inactive AND deaClassCode = 2</t>
  </si>
  <si>
    <t>10-2: Not adding the new sub status until we receive sign off from legal.
10-31: This status is specific to C2 controlled substances, similar to the 'Request new Rx from prescriber' status for retail.
12-6: This status should be ranked just below the coverage termination check and the transient cache status so that we catch the controlled substance use case before any other statuses are triggered.
7-30-25: Removing badge and replacing with a descriptive sub status because this status is causing high frustration for users. Users are clicking on the badge, expecting it to be a CTA.</t>
  </si>
  <si>
    <t>TLPLP-452</t>
  </si>
  <si>
    <t>CMK_PA_July_2025</t>
  </si>
  <si>
    <t>Not filled</t>
  </si>
  <si>
    <t>Your insurance plan requires more information from your prescriber to make a decision on the coverage request. Your prescriber has been contacted. Check back here for updates.</t>
  </si>
  <si>
    <t>cmk_pa_no_response</t>
  </si>
  <si>
    <t>CMK_PA_NO_RESPONSE</t>
  </si>
  <si>
    <t>Not actionable</t>
  </si>
  <si>
    <t xml:space="preserve">Not filled
</t>
  </si>
  <si>
    <t>fillStatusReasonCode = 15,30,67,68,69,70,71,72,73,74
AND paStatusCode = PA_No_Response</t>
  </si>
  <si>
    <t>11-6: Updated priority value to make room for transient cache priority.
6-25-25: Updated sub status to align with orders ruleset.</t>
  </si>
  <si>
    <t>TLPLP-45</t>
  </si>
  <si>
    <t>Not yet fillable</t>
  </si>
  <si>
    <t>Available for refill on {{scheduleDate}}.</t>
  </si>
  <si>
    <t>future_fill_refillable_false</t>
  </si>
  <si>
    <t>FUTURE_FILL_REFILLABLE_FALSE</t>
  </si>
  <si>
    <t>refillable = false
AND scheduleDate != null
AND scheduleDate &gt; today
AND autoRefillStatus = false</t>
  </si>
  <si>
    <t>10-24: This rule is needed to differentiate from future_fill_available_for_refill for when refillable = false. When refillsRemaining = 0, nextFillDate = NULL so we can't create a rule for 'Available for renewal on' using nextFillDate. Need to set priority lower than Upcoming and order status rules, but higher than Delivered status.
11-6: 'Not yet fillable' is the only parent status where we don't display the child status on the PLP card, so that is why there is no child status in this case.</t>
  </si>
  <si>
    <t>Order Received</t>
  </si>
  <si>
    <t>Received</t>
  </si>
  <si>
    <t>We've received a prescription order. Your pharmacy team will review this request shortly. Check back for updates.</t>
  </si>
  <si>
    <t>order_received_rc56</t>
  </si>
  <si>
    <t>ORDER_RECEIVED_RC56</t>
  </si>
  <si>
    <t>rxState = 2
fillStatusReasonCode = 56</t>
  </si>
  <si>
    <t>12-10-24: Need to change parent status to 'Order Received' after BE supports returning isActiveOrder = true for Caremark Rx that have the 'Order Received' parent status.</t>
  </si>
  <si>
    <t xml:space="preserve">Prescriber contacted </t>
  </si>
  <si>
    <t xml:space="preserve">Pending </t>
  </si>
  <si>
    <t xml:space="preserve">We're contacting your prescriber for instructions on how you should take this medication. We need this information before we can process your order. </t>
  </si>
  <si>
    <t>po_instructions_rc86</t>
  </si>
  <si>
    <t>PO_INSTRUCTIONS_RC86</t>
  </si>
  <si>
    <t>Prescriber contacted</t>
  </si>
  <si>
    <t>fillStatusReasonCode = 86</t>
  </si>
  <si>
    <t>Your prescriber has not responded to our first request, so we're sending it again. You can help by asking them to contact us.</t>
  </si>
  <si>
    <t>faststart_3_request_sent_again</t>
  </si>
  <si>
    <t>FASTSTART_3_REQUEST_SENT_AGAIN</t>
  </si>
  <si>
    <t>fillStatusReasonCode = 3
AND fillStatus != NULL</t>
  </si>
  <si>
    <t xml:space="preserve">We've received your prescription request and we're submitting it to your prescriber for their approval.
</t>
  </si>
  <si>
    <t>faststart_1_received</t>
  </si>
  <si>
    <t>FASTSTART_1_RECEIVED</t>
  </si>
  <si>
    <t>fillStatusReasonCode = 1
AND fillStatus != NULL</t>
  </si>
  <si>
    <t xml:space="preserve">Ready
</t>
  </si>
  <si>
    <t>Ready to ship</t>
  </si>
  <si>
    <t>Scheduled to arrive on [shipBegindate (Mmm dd)  - shipEndDate (Mmm dd)]</t>
  </si>
  <si>
    <t>ready_to_ship_38</t>
  </si>
  <si>
    <t>READY_TO_SHIP_RC38</t>
  </si>
  <si>
    <t>fillStatusReasonCode = 38</t>
  </si>
  <si>
    <t>Renewable</t>
  </si>
  <si>
    <t>Requires Renewal</t>
  </si>
  <si>
    <t>Once you place your order, we'll reach out to your prescriber for a new prescription. Your request may take a few days.</t>
  </si>
  <si>
    <t>needs_new_rx_inactive</t>
  </si>
  <si>
    <t>NEEDS_NEW_RX_INACTIVE</t>
  </si>
  <si>
    <t>rxStatus = INACTIVE
AND rxState = 2
AND requestable = TRUE
AND (expirationDate &lt;= today OR refillsRemaining = 0)
AND (controlSubstance = false OR deaClassCode = 3,4,5)
AND fillStatusReasonCode = 49</t>
  </si>
  <si>
    <t>Shipped</t>
  </si>
  <si>
    <t>On the way</t>
  </si>
  <si>
    <t>Your order is in transit and is expected to arrive on &lt;estimatedDeliveryDate&gt;</t>
  </si>
  <si>
    <t>Rule 12: Fill status reason code is 8 and shipped date is not null</t>
  </si>
  <si>
    <t>SHIPPED_RC8_42_DATE</t>
  </si>
  <si>
    <t>fillStatusReasonCode = 8,42
AND estimatedDeliveryDate != NULL
AND refillable = FALSE</t>
  </si>
  <si>
    <t>10-16: Added condition for refillable = false</t>
  </si>
  <si>
    <t>Upcoming</t>
  </si>
  <si>
    <t>Scheduled</t>
  </si>
  <si>
    <t>Next auto fill on {{scheduleDate}}.</t>
  </si>
  <si>
    <t>Rule 3: Rx is Active and its auto refillable schedule date is not null</t>
  </si>
  <si>
    <t>Upcoming - auto refill</t>
  </si>
  <si>
    <t>autoRefillStatus = TRUE
refillsRemaining &gt; 0
scheduleDate != NULL</t>
  </si>
  <si>
    <t>11-6: Updated priority value to make room for transient cache priority.
1-24: Updating priority to 352 to allow the order status, scheduled, and due for refill rules to trigger before it. We want to allow the reason codes to trigger the appropriate rule before this rule is triggered. It should be ranked above Rule 11 so that if reason code 49 is present, the Delivered status does not display on the PLP.</t>
  </si>
  <si>
    <t>4-14: We can leave the parentStatus as 'Upcoming' because there is no longer logic to display the View Order CTA based on parentStatus.</t>
  </si>
  <si>
    <t>DE329119,US2007897,US1978448</t>
  </si>
  <si>
    <t>Next_auto_fill</t>
  </si>
  <si>
    <t>Retail</t>
  </si>
  <si>
    <t>Out of stock</t>
  </si>
  <si>
    <t>This prescription is not typically stocked in the pharmacy and was ordered for you. To have this ready next time, please reorder two business days ahead of time.</t>
  </si>
  <si>
    <t>OOS_Preorder_1</t>
  </si>
  <si>
    <t>OOS_PREORDER_1</t>
  </si>
  <si>
    <t xml:space="preserve"> OOS (fillStatusCode= 8  with pre order indicator of 1)</t>
  </si>
  <si>
    <t>Fill status code 8 is when it’s in the pending inventory queue and it had an OOS action note
12-30: Copy update from Jill Benevides.
2-28: Copy update from Jill Benevides.</t>
  </si>
  <si>
    <t>US2030042,US2031332</t>
  </si>
  <si>
    <t>OOS_copy_v2</t>
  </si>
  <si>
    <t>Active order</t>
  </si>
  <si>
    <t>Your prescription is temporarily out of stock at this pharmacy. We’ve ordered it for you and we expect it to be in soon.</t>
  </si>
  <si>
    <t>cm_oos</t>
  </si>
  <si>
    <t>Delayed_CM_OOS</t>
  </si>
  <si>
    <t>FILL_STATUS_131</t>
  </si>
  <si>
    <t>rxState = 1 and 
rxType = 'normal' and 
fillStatusCode = 131</t>
  </si>
  <si>
    <t xml:space="preserve">
12-30: Sub status copy update from Jill Benevides
1-8: Moved priority from 50 to 2 so that the Delayed statuses trigger in front of Order Received and Order Preparing.
2-4: Updated rollup key back to 99 because it is not included in the rollup use cases to address for Q1.
2-5: During the Feb 5 deployment, both the priority value was updated, as well as the sub status copy update from Jill.</t>
  </si>
  <si>
    <t>US1976912</t>
  </si>
  <si>
    <t>PO_PA_delayed_priorities, OOS_copy</t>
  </si>
  <si>
    <t>Refill too soon</t>
  </si>
  <si>
    <t>We last tried to fill this prescription on {{lastFillDate}} and it was too soon to fill. If you are running low, we can check if it can be filled. Request a refill.</t>
  </si>
  <si>
    <t>2oh</t>
  </si>
  <si>
    <t>ON_HOLD_REASON_02_NO_DATE</t>
  </si>
  <si>
    <t>Fillable - "unlocked" on hold</t>
  </si>
  <si>
    <t>rxstate =1,3,8,9,10,11,12,13,22
rxStatus = OnHold,
onHoldReason =  "2"
scheduleDate = null</t>
  </si>
  <si>
    <t>Updated priority to 11 to be higher priority than PA_APPROVED_IN_PROCESS_RTL so that on hold status takes priority if PA script moves to on hold.
7-15: This is the on hold with reason code 2 (refill too soon) when there is NOT a scheduled date.
7-26: No change to this rule for the 7-29 deployment.
11-8: Updated parent status, child status and sub status to unlock this on hold.
1-22: Updated rollup key so that Rx is prioritized over locked on holds.
6-13-25: Added quick refill self serve option.</t>
  </si>
  <si>
    <t>TLPLPAPP-58</t>
  </si>
  <si>
    <t>quick_refill</t>
  </si>
  <si>
    <t>INACTIVATE_ELIGIBILITY, QUICK_REFILL</t>
  </si>
  <si>
    <t>Action required</t>
  </si>
  <si>
    <t>We reached out to your prescriber, &lt;prescriber's name&gt;, for more refills. We have not received a response. Please reach out to your prescriber directly for more refills.</t>
  </si>
  <si>
    <t>RENEWAL_ACTION_REQUIRED_CS_7D</t>
  </si>
  <si>
    <t xml:space="preserve">RENEWAL_CANCELED_01_CS7 </t>
  </si>
  <si>
    <t>Presciber contacted renewal - no response</t>
  </si>
  <si>
    <t>(new 6/6/24)  prescriberOutreachType = 1 AND any of the following conditions:
Add requestType = 1 AND 
1. Contact Status = 8, with  status details = 7, with no deletion flag
2. Contact Status = 7, with any 1 of the following status details = 14, 15, and deletion flag yes
3.  Contact Status = 8, with  status details = 14, (and deletion flag yes or no)</t>
  </si>
  <si>
    <t>Prescriber</t>
  </si>
  <si>
    <t>Your insurance plan is reviewing the coverage appeal provided by your prescriber. Check back here for updates.</t>
  </si>
  <si>
    <t>PA_Appeal_Pending</t>
  </si>
  <si>
    <t>PA_APPEAL_PENDING</t>
  </si>
  <si>
    <t>PA</t>
  </si>
  <si>
    <t>paStatusCode = PA_Appeal_Pending
AND [(actionNoteText = PRD,PRR,TRP) OR (rdsCode = 10) OR (fillStatusCode = 26,90) OR (rxState =1, rxStatus = OnHold, onHoldReason =  5, scheduleDate = null)]</t>
  </si>
  <si>
    <t>7-15: Removed new R67 PA logic.
7-23: Not excluding fillStatusCode 6,7,12 because the other RxC conditions in this rule will identify that it is a PA and therefore not ready for pickup, sold, etc.
11-18: Removed clause for billToCashReason because this attribute persists even after the Rx is past the PA stage and is sold; updated sub status with "the".
12-17: Remove R67 PA logic.
5-28: Updated PA sub statuses.</t>
  </si>
  <si>
    <t>retail_June_2025</t>
  </si>
  <si>
    <t>Available for renewal on &lt;almostOutOfDate&gt;</t>
  </si>
  <si>
    <t>Available for Renewal on+ AlmostOutOfDate P18</t>
  </si>
  <si>
    <t>Not fillable yet</t>
  </si>
  <si>
    <t>Not yet fillable - renewal</t>
  </si>
  <si>
    <t>almostOutCalculated = True
AND almostOut = False
AND [ (rxState = 1 AND refillsRemaining = 0) OR (rxState = 1 AND expirationDate &lt; today)
OR (rxState=9)</t>
  </si>
  <si>
    <t>INACTIVATE_ELIGIBILITY, CHANGE_FILL_LOCATION_ELIGIBLE, CHANGE_FILL_LOCATION_INELIGIBLE</t>
  </si>
  <si>
    <t>We've received a prescription order. Once your pharmacy team reviews this request, this page will update.</t>
  </si>
  <si>
    <t>Order_Received</t>
  </si>
  <si>
    <t>ORDER_RECEIVED</t>
  </si>
  <si>
    <t>fillVersion = 0
AND fillStatusCode = 10,11,13-25, 27-31,33-37,39,40,42-44,46-49,51-54,56,59,60,62,64-70,74,75,79-83,86,87,88,89,91 - 99, 101-104, 106 -109, 111,112,119,120,124,125,126,142</t>
  </si>
  <si>
    <t>Updated parent status to 'We're working on it' because the PLP UI's would need to make code changes if we use 'Order received'
11-12-24: Updated parent status, child status, sub status to match order status.</t>
  </si>
  <si>
    <t>Request approved</t>
  </si>
  <si>
    <t>We've heard back from  your prescriber, &lt;prescriber's name&gt; and are filling the updated prescription.</t>
  </si>
  <si>
    <t>PO_Approved_All_RTL</t>
  </si>
  <si>
    <t>PO_APPROVED_ALL_RTL</t>
  </si>
  <si>
    <t>Renewal approved</t>
  </si>
  <si>
    <t>Request type code 45 and Request reason code = 1, Contact Status Code = 4, detail code = 9
Request type code 45 and Request reason code = 3, Contact Status Code = 4, detail code = 1,2,6,7,9,12,14,4
Request type code 45 and Request reason code = 4, Contact Status Code = 4, detail code = 1,2,6,7,9,12,14,4
Request type code 45 and Request reason code = 5, Contact Status Code = 4, detail code = 1,2,6,7,4</t>
  </si>
  <si>
    <t>Omitting the isRequestItemExist flag until we know whether it is required.
Aug. 6: The rollupKey should be 99, not 10 like other Prescriber contacted statuses because this outreach is approved, and we don't want it to block subsequent statuses for different Rx's of the same drug, such as Ready for Refill.</t>
  </si>
  <si>
    <t>Needs new prescription</t>
  </si>
  <si>
    <t>Requires Renewal P20</t>
  </si>
  <si>
    <t>almostOutCalculated = TRUE
AND almostOut = TRUE
AND [RxState = 9 OR (rxState = 1 AND (refillsRemaining = 0 OR expirationDate is &lt;= TODAY))]
AND renewalAllowed = true</t>
  </si>
  <si>
    <t>9-12-25: Added condition for autoRefillStatus != E so that the Next auto fill rule will trigger instead when the Rx is a ReadyFill with 0 refills remaining.
10-24: Added condition for renewalAllowed = true.
5-30: Updated child status to 'Needs new prescription'</t>
  </si>
  <si>
    <t>This is the requires renewal rule for when all of the almost out flags are true, but it is not a controlled substance.</t>
  </si>
  <si>
    <t>US2078448,US2070151</t>
  </si>
  <si>
    <t>This prescription is expired. Once you place your order, we'll reach out to your prescriber for a new prescription. Your request may take a few days.</t>
  </si>
  <si>
    <t>Expired_On_Hold</t>
  </si>
  <si>
    <t>EXPIRED_ONHOLD</t>
  </si>
  <si>
    <t>rxState = 1,9
AND rxStatus = Expired
AND any on hold reason code
AND renewalAllowed = TRUE
AND deaClassCode != C2</t>
  </si>
  <si>
    <t>Removing rxState = 1 from the rule to match the order status rule. The order status rule was promoted to production on 7-1, but this prescription rule was not.
11/5: Updated sub status to match Orders ruleset
11-25: Updated priority value to 10.9
2-5: Updating parent status, status, sub status, and refillEligible and renewEligible to TRUE to unlock this rule. Adding condition so it only triggers for controls if the nextAvailableFillDate has passed.
3-4: Increased ranking so it triggers in front of the other on holds that have a specific reason code.
5-30: Updated child status to 'Needs new prescription'</t>
  </si>
  <si>
    <t>3/12: Note that we do not allow renewal of C2s.</t>
  </si>
  <si>
    <t>Next auto refill date on {{scheduleDate}}.</t>
  </si>
  <si>
    <t>Next ScriptSync ready date P21</t>
  </si>
  <si>
    <t>Upcoming - Auto refill</t>
  </si>
  <si>
    <t>scriptSynchStatus = Y
AND scheduleDate != NULL</t>
  </si>
  <si>
    <t>1-7: Added period to end of sub status. Updated condition to use pickUpDate attribute instead of pickupDate.
2-13: Updated to use ssScheduleDate attribute.
2-25: Updated sub status to be consistent with Ready fill statuses.
5-15: Updated to use scheduleDate attribute to be consistent with the next auto fill rules.</t>
  </si>
  <si>
    <t>Per Eric:
This requires further discussion. VOT uses 'Refill too soon' as the badge for scheduled fills, and John. L. did content discovery earlier in the PI to change this to 'Next Refill: &lt;date&gt;'</t>
  </si>
  <si>
    <t>TLPLP-87</t>
  </si>
  <si>
    <t>retail_July_2025</t>
  </si>
  <si>
    <t xml:space="preserve">We're working on it </t>
  </si>
  <si>
    <t xml:space="preserve">Pending
</t>
  </si>
  <si>
    <t>We'll update this page when the pharmacy team reviews your request.</t>
  </si>
  <si>
    <t>transient_status_cancel_order</t>
  </si>
  <si>
    <t>TRANSIENT_STATUS_CANCEL_ORDER</t>
  </si>
  <si>
    <t>Ready for pickup</t>
  </si>
  <si>
    <t>Ready for Pick Up P5</t>
  </si>
  <si>
    <t>FILL_STATUS_6</t>
  </si>
  <si>
    <t>Ready</t>
  </si>
  <si>
    <t>fillStatusCode = 6</t>
  </si>
  <si>
    <t>11-12: Updated sub status to match order status.
3-17: Removed sub status because the UI is now displaying all sub statuses, and we don't need a sub status for this rule.</t>
  </si>
  <si>
    <t>Q2_unlocks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</si>
</sst>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14" fontId="0" fillId="0" borderId="0" xfId="0" applyNumberFormat="1" applyAlignment="1">
      <alignment wrapText="1"/>
    </xf>
    <xf numFmtId="0" fontId="1" fillId="0" borderId="0" xfId="0" applyFont="1" applyAlignment="1">
      <alignment wrapText="1"/>
    </xf>
    <xf numFmtId="14"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19D04-D22E-FA47-B926-17409AEAFF0B}">
  <dimension ref="A1:W33"/>
  <sheetViews>
    <sheetView tabSelected="1" topLeftCell="A31" workbookViewId="0">
      <selection activeCell="A33" sqref="A33:XFD33"/>
    </sheetView>
  </sheetViews>
  <sheetFormatPr defaultColWidth="11" defaultRowHeight="408" customHeight="1"/>
  <cols>
    <col min="4" max="4" width="39" customWidth="1"/>
    <col min="12" max="12" width="43" customWidth="1"/>
    <col min="16" max="16" width="60" customWidth="1"/>
  </cols>
  <sheetData>
    <row r="1" spans="1:23" s="1" customFormat="1" ht="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1" customFormat="1" ht="84.95">
      <c r="A2" s="1" t="s">
        <v>23</v>
      </c>
      <c r="B2" s="1" t="s">
        <v>24</v>
      </c>
      <c r="C2" s="1" t="s">
        <v>25</v>
      </c>
      <c r="D2" s="1" t="s">
        <v>26</v>
      </c>
      <c r="E2" s="1" t="s">
        <v>27</v>
      </c>
      <c r="F2" s="1" t="s">
        <v>28</v>
      </c>
      <c r="G2" s="1" t="s">
        <v>29</v>
      </c>
      <c r="H2" s="1" t="s">
        <v>29</v>
      </c>
      <c r="I2" s="1" t="s">
        <v>8</v>
      </c>
      <c r="K2" s="1" t="s">
        <v>24</v>
      </c>
      <c r="L2" s="1" t="s">
        <v>30</v>
      </c>
      <c r="M2" s="1">
        <v>33</v>
      </c>
      <c r="N2" s="1">
        <v>10</v>
      </c>
      <c r="Q2" s="2">
        <v>45582</v>
      </c>
    </row>
    <row r="3" spans="1:23" s="1" customFormat="1" ht="153">
      <c r="A3" s="1" t="s">
        <v>23</v>
      </c>
      <c r="B3" s="1" t="s">
        <v>24</v>
      </c>
      <c r="C3" s="1" t="s">
        <v>31</v>
      </c>
      <c r="D3" s="1" t="s">
        <v>32</v>
      </c>
      <c r="E3" s="1" t="s">
        <v>27</v>
      </c>
      <c r="F3" s="1" t="s">
        <v>33</v>
      </c>
      <c r="G3" s="1" t="s">
        <v>34</v>
      </c>
      <c r="H3" s="1" t="s">
        <v>34</v>
      </c>
      <c r="I3" s="1" t="s">
        <v>8</v>
      </c>
      <c r="K3" s="1" t="s">
        <v>24</v>
      </c>
      <c r="L3" s="1" t="s">
        <v>35</v>
      </c>
      <c r="M3" s="1">
        <v>2</v>
      </c>
      <c r="N3" s="1">
        <v>10</v>
      </c>
      <c r="P3" s="1" t="s">
        <v>36</v>
      </c>
      <c r="Q3" s="2">
        <v>45603</v>
      </c>
    </row>
    <row r="4" spans="1:23" s="1" customFormat="1" ht="68.099999999999994">
      <c r="A4" s="1" t="s">
        <v>23</v>
      </c>
      <c r="B4" s="1" t="s">
        <v>24</v>
      </c>
      <c r="C4" s="1" t="s">
        <v>37</v>
      </c>
      <c r="D4" s="1" t="s">
        <v>38</v>
      </c>
      <c r="E4" s="1" t="s">
        <v>27</v>
      </c>
      <c r="F4" s="1" t="s">
        <v>39</v>
      </c>
      <c r="G4" s="1" t="s">
        <v>40</v>
      </c>
      <c r="H4" s="1" t="s">
        <v>40</v>
      </c>
      <c r="I4" s="1" t="s">
        <v>8</v>
      </c>
      <c r="K4" s="1" t="s">
        <v>24</v>
      </c>
      <c r="L4" s="1" t="s">
        <v>41</v>
      </c>
      <c r="M4" s="1">
        <v>30</v>
      </c>
      <c r="N4" s="1">
        <v>10</v>
      </c>
      <c r="Q4" s="2">
        <v>45582</v>
      </c>
    </row>
    <row r="5" spans="1:23" s="1" customFormat="1" ht="102">
      <c r="A5" s="1" t="s">
        <v>23</v>
      </c>
      <c r="B5" s="1" t="s">
        <v>24</v>
      </c>
      <c r="C5" s="1" t="s">
        <v>25</v>
      </c>
      <c r="D5" s="1" t="s">
        <v>42</v>
      </c>
      <c r="E5" s="1" t="s">
        <v>27</v>
      </c>
      <c r="F5" s="1" t="s">
        <v>43</v>
      </c>
      <c r="G5" s="1" t="s">
        <v>44</v>
      </c>
      <c r="H5" s="1" t="s">
        <v>44</v>
      </c>
      <c r="I5" s="1" t="s">
        <v>8</v>
      </c>
      <c r="K5" s="1" t="s">
        <v>24</v>
      </c>
      <c r="L5" s="1" t="s">
        <v>45</v>
      </c>
      <c r="M5" s="1">
        <v>33</v>
      </c>
      <c r="N5" s="1">
        <v>10</v>
      </c>
      <c r="Q5" s="2">
        <v>45582</v>
      </c>
    </row>
    <row r="6" spans="1:23" s="1" customFormat="1" ht="84.95">
      <c r="A6" s="1" t="s">
        <v>23</v>
      </c>
      <c r="B6" s="1" t="s">
        <v>24</v>
      </c>
      <c r="C6" s="1" t="s">
        <v>25</v>
      </c>
      <c r="D6" s="1" t="s">
        <v>46</v>
      </c>
      <c r="E6" s="1" t="s">
        <v>27</v>
      </c>
      <c r="F6" s="1" t="s">
        <v>47</v>
      </c>
      <c r="G6" s="1" t="s">
        <v>48</v>
      </c>
      <c r="H6" s="1" t="s">
        <v>48</v>
      </c>
      <c r="I6" s="1" t="s">
        <v>8</v>
      </c>
      <c r="K6" s="1" t="s">
        <v>24</v>
      </c>
      <c r="L6" s="1" t="s">
        <v>49</v>
      </c>
      <c r="M6" s="1">
        <v>33</v>
      </c>
      <c r="N6" s="1">
        <v>10</v>
      </c>
      <c r="Q6" s="2">
        <v>45582</v>
      </c>
    </row>
    <row r="7" spans="1:23" s="1" customFormat="1" ht="51">
      <c r="A7" s="1" t="s">
        <v>23</v>
      </c>
      <c r="B7" s="1" t="s">
        <v>24</v>
      </c>
      <c r="C7" s="1" t="s">
        <v>50</v>
      </c>
      <c r="D7" s="1" t="s">
        <v>51</v>
      </c>
      <c r="E7" s="1" t="s">
        <v>27</v>
      </c>
      <c r="F7" s="1" t="s">
        <v>52</v>
      </c>
      <c r="G7" s="1" t="s">
        <v>53</v>
      </c>
      <c r="H7" s="1" t="s">
        <v>53</v>
      </c>
      <c r="I7" s="1" t="s">
        <v>8</v>
      </c>
      <c r="K7" s="1" t="s">
        <v>54</v>
      </c>
      <c r="L7" s="1" t="s">
        <v>55</v>
      </c>
      <c r="M7" s="1">
        <v>33</v>
      </c>
      <c r="N7" s="1">
        <v>10</v>
      </c>
      <c r="P7" s="1" t="s">
        <v>56</v>
      </c>
      <c r="Q7" s="2">
        <v>45749</v>
      </c>
      <c r="T7" s="1" t="s">
        <v>57</v>
      </c>
      <c r="U7" s="1" t="s">
        <v>58</v>
      </c>
    </row>
    <row r="8" spans="1:23" s="1" customFormat="1" ht="170.1">
      <c r="A8" s="1" t="s">
        <v>23</v>
      </c>
      <c r="B8" s="1" t="s">
        <v>59</v>
      </c>
      <c r="D8" s="1" t="s">
        <v>60</v>
      </c>
      <c r="E8" s="1" t="s">
        <v>27</v>
      </c>
      <c r="F8" s="1" t="s">
        <v>61</v>
      </c>
      <c r="G8" s="1" t="s">
        <v>62</v>
      </c>
      <c r="I8" s="1" t="s">
        <v>8</v>
      </c>
      <c r="K8" s="1" t="s">
        <v>63</v>
      </c>
      <c r="L8" s="1" t="s">
        <v>64</v>
      </c>
      <c r="M8" s="1">
        <v>220</v>
      </c>
      <c r="N8" s="1">
        <v>30</v>
      </c>
      <c r="P8" s="1" t="s">
        <v>65</v>
      </c>
      <c r="Q8" s="2">
        <v>45790</v>
      </c>
      <c r="S8" s="1" t="s">
        <v>66</v>
      </c>
      <c r="T8" s="1" t="s">
        <v>57</v>
      </c>
      <c r="U8" s="1" t="s">
        <v>67</v>
      </c>
    </row>
    <row r="9" spans="1:23" s="1" customFormat="1" ht="102">
      <c r="A9" s="1" t="s">
        <v>23</v>
      </c>
      <c r="B9" s="1" t="s">
        <v>68</v>
      </c>
      <c r="C9" s="1" t="s">
        <v>25</v>
      </c>
      <c r="D9" s="1" t="s">
        <v>69</v>
      </c>
      <c r="E9" s="1" t="s">
        <v>27</v>
      </c>
      <c r="F9" s="1" t="s">
        <v>70</v>
      </c>
      <c r="G9" s="1" t="s">
        <v>71</v>
      </c>
      <c r="I9" s="1" t="s">
        <v>72</v>
      </c>
      <c r="K9" s="1" t="s">
        <v>72</v>
      </c>
      <c r="L9" s="1" t="s">
        <v>73</v>
      </c>
      <c r="M9" s="1">
        <v>320</v>
      </c>
      <c r="N9" s="1">
        <v>99</v>
      </c>
      <c r="P9" s="1" t="s">
        <v>74</v>
      </c>
      <c r="Q9" s="2">
        <v>45636</v>
      </c>
      <c r="S9" s="1" t="s">
        <v>75</v>
      </c>
    </row>
    <row r="10" spans="1:23" s="1" customFormat="1" ht="153">
      <c r="A10" s="1" t="s">
        <v>23</v>
      </c>
      <c r="B10" s="1" t="s">
        <v>68</v>
      </c>
      <c r="D10" s="1" t="s">
        <v>76</v>
      </c>
      <c r="E10" s="1" t="s">
        <v>27</v>
      </c>
      <c r="F10" s="1" t="s">
        <v>77</v>
      </c>
      <c r="G10" s="1" t="s">
        <v>78</v>
      </c>
      <c r="I10" s="1" t="s">
        <v>72</v>
      </c>
      <c r="K10" s="1" t="s">
        <v>72</v>
      </c>
      <c r="L10" s="1" t="s">
        <v>79</v>
      </c>
      <c r="M10" s="1">
        <v>2</v>
      </c>
      <c r="N10" s="1">
        <v>99</v>
      </c>
      <c r="P10" s="1" t="s">
        <v>80</v>
      </c>
      <c r="Q10" s="2">
        <v>45877</v>
      </c>
      <c r="S10" s="1" t="s">
        <v>81</v>
      </c>
      <c r="T10" s="1" t="s">
        <v>57</v>
      </c>
      <c r="U10" s="1" t="s">
        <v>82</v>
      </c>
    </row>
    <row r="11" spans="1:23" s="1" customFormat="1" ht="68.099999999999994">
      <c r="A11" s="1" t="s">
        <v>23</v>
      </c>
      <c r="B11" s="1" t="s">
        <v>83</v>
      </c>
      <c r="C11" s="1" t="s">
        <v>25</v>
      </c>
      <c r="D11" s="1" t="s">
        <v>84</v>
      </c>
      <c r="E11" s="1" t="s">
        <v>27</v>
      </c>
      <c r="F11" s="1" t="s">
        <v>85</v>
      </c>
      <c r="G11" s="1" t="s">
        <v>86</v>
      </c>
      <c r="H11" s="1" t="s">
        <v>86</v>
      </c>
      <c r="I11" s="1" t="s">
        <v>87</v>
      </c>
      <c r="K11" s="1" t="s">
        <v>88</v>
      </c>
      <c r="L11" s="1" t="s">
        <v>89</v>
      </c>
      <c r="M11" s="1">
        <v>2</v>
      </c>
      <c r="N11" s="1">
        <v>99</v>
      </c>
      <c r="P11" s="1" t="s">
        <v>90</v>
      </c>
      <c r="Q11" s="2">
        <v>45870</v>
      </c>
      <c r="S11" s="1" t="s">
        <v>91</v>
      </c>
      <c r="T11" s="1" t="s">
        <v>57</v>
      </c>
      <c r="U11" s="1" t="s">
        <v>82</v>
      </c>
    </row>
    <row r="12" spans="1:23" s="1" customFormat="1" ht="135.94999999999999">
      <c r="A12" s="1" t="s">
        <v>23</v>
      </c>
      <c r="B12" s="1" t="s">
        <v>92</v>
      </c>
      <c r="D12" s="1" t="s">
        <v>93</v>
      </c>
      <c r="E12" s="1" t="s">
        <v>27</v>
      </c>
      <c r="F12" s="1" t="s">
        <v>94</v>
      </c>
      <c r="G12" s="1" t="s">
        <v>95</v>
      </c>
      <c r="I12" s="1" t="s">
        <v>8</v>
      </c>
      <c r="K12" s="1" t="s">
        <v>92</v>
      </c>
      <c r="L12" s="1" t="s">
        <v>96</v>
      </c>
      <c r="M12" s="1">
        <v>100</v>
      </c>
      <c r="N12" s="1">
        <v>99</v>
      </c>
      <c r="P12" s="1" t="s">
        <v>97</v>
      </c>
      <c r="Q12" s="2">
        <v>45603</v>
      </c>
    </row>
    <row r="13" spans="1:23" s="1" customFormat="1" ht="51">
      <c r="A13" s="1" t="s">
        <v>23</v>
      </c>
      <c r="B13" s="1" t="s">
        <v>98</v>
      </c>
      <c r="C13" s="1" t="s">
        <v>99</v>
      </c>
      <c r="D13" s="1" t="s">
        <v>100</v>
      </c>
      <c r="E13" s="1" t="s">
        <v>27</v>
      </c>
      <c r="F13" s="1" t="s">
        <v>101</v>
      </c>
      <c r="G13" s="1" t="s">
        <v>102</v>
      </c>
      <c r="H13" s="1" t="s">
        <v>102</v>
      </c>
      <c r="I13" s="1" t="e">
        <v>#N/A</v>
      </c>
      <c r="K13" s="1" t="e">
        <v>#N/A</v>
      </c>
      <c r="L13" s="1" t="s">
        <v>103</v>
      </c>
      <c r="M13" s="1">
        <v>33</v>
      </c>
      <c r="N13" s="1">
        <v>10</v>
      </c>
      <c r="P13" s="1" t="s">
        <v>104</v>
      </c>
      <c r="Q13" s="2">
        <v>45870</v>
      </c>
      <c r="S13" s="1" t="s">
        <v>91</v>
      </c>
      <c r="T13" s="1" t="s">
        <v>57</v>
      </c>
      <c r="U13" s="1" t="s">
        <v>82</v>
      </c>
    </row>
    <row r="14" spans="1:23" ht="68.099999999999994">
      <c r="A14" s="3" t="s">
        <v>23</v>
      </c>
      <c r="B14" s="3" t="s">
        <v>105</v>
      </c>
      <c r="C14" s="3" t="s">
        <v>106</v>
      </c>
      <c r="D14" s="3" t="s">
        <v>107</v>
      </c>
      <c r="E14" s="3" t="s">
        <v>27</v>
      </c>
      <c r="F14" s="3" t="s">
        <v>108</v>
      </c>
      <c r="G14" s="3" t="s">
        <v>109</v>
      </c>
      <c r="H14" s="3" t="s">
        <v>109</v>
      </c>
      <c r="I14" s="3" t="s">
        <v>87</v>
      </c>
      <c r="J14" s="3"/>
      <c r="K14" s="3" t="s">
        <v>110</v>
      </c>
      <c r="L14" s="3" t="s">
        <v>111</v>
      </c>
      <c r="M14" s="3">
        <v>33</v>
      </c>
      <c r="N14" s="3">
        <v>10</v>
      </c>
      <c r="O14" s="3"/>
      <c r="P14" s="3"/>
      <c r="Q14" s="4">
        <v>45582</v>
      </c>
      <c r="R14" s="3"/>
      <c r="S14" s="3"/>
      <c r="T14" s="3"/>
      <c r="U14" s="3"/>
      <c r="V14" s="3"/>
      <c r="W14" s="3"/>
    </row>
    <row r="15" spans="1:23" ht="68.099999999999994">
      <c r="A15" s="3" t="s">
        <v>23</v>
      </c>
      <c r="B15" s="3" t="s">
        <v>105</v>
      </c>
      <c r="C15" s="3" t="s">
        <v>106</v>
      </c>
      <c r="D15" s="3" t="s">
        <v>112</v>
      </c>
      <c r="E15" s="3" t="s">
        <v>27</v>
      </c>
      <c r="F15" s="3" t="s">
        <v>113</v>
      </c>
      <c r="G15" s="3" t="s">
        <v>114</v>
      </c>
      <c r="H15" s="3" t="s">
        <v>114</v>
      </c>
      <c r="I15" s="3" t="s">
        <v>87</v>
      </c>
      <c r="J15" s="3"/>
      <c r="K15" s="3" t="s">
        <v>110</v>
      </c>
      <c r="L15" s="3" t="s">
        <v>115</v>
      </c>
      <c r="M15" s="3">
        <v>203</v>
      </c>
      <c r="N15" s="3">
        <v>10</v>
      </c>
      <c r="O15" s="3"/>
      <c r="P15" s="3"/>
      <c r="Q15" s="4">
        <v>45582</v>
      </c>
      <c r="R15" s="3"/>
      <c r="S15" s="3"/>
      <c r="T15" s="3"/>
      <c r="U15" s="3"/>
      <c r="V15" s="3"/>
      <c r="W15" s="3"/>
    </row>
    <row r="16" spans="1:23" s="1" customFormat="1" ht="68.099999999999994">
      <c r="A16" s="1" t="s">
        <v>23</v>
      </c>
      <c r="B16" s="1" t="s">
        <v>105</v>
      </c>
      <c r="C16" s="1" t="s">
        <v>106</v>
      </c>
      <c r="D16" s="1" t="s">
        <v>116</v>
      </c>
      <c r="E16" s="1" t="s">
        <v>27</v>
      </c>
      <c r="F16" s="1" t="s">
        <v>117</v>
      </c>
      <c r="G16" s="1" t="s">
        <v>118</v>
      </c>
      <c r="H16" s="1" t="s">
        <v>118</v>
      </c>
      <c r="I16" s="1" t="s">
        <v>87</v>
      </c>
      <c r="K16" s="1" t="s">
        <v>110</v>
      </c>
      <c r="L16" s="1" t="s">
        <v>119</v>
      </c>
      <c r="M16" s="1">
        <v>201</v>
      </c>
      <c r="N16" s="1">
        <v>10</v>
      </c>
      <c r="Q16" s="2">
        <v>45582</v>
      </c>
    </row>
    <row r="17" spans="1:23" s="1" customFormat="1" ht="51">
      <c r="A17" s="1" t="s">
        <v>23</v>
      </c>
      <c r="B17" s="1" t="s">
        <v>120</v>
      </c>
      <c r="C17" s="1" t="s">
        <v>121</v>
      </c>
      <c r="D17" s="1" t="s">
        <v>122</v>
      </c>
      <c r="E17" s="1" t="s">
        <v>27</v>
      </c>
      <c r="F17" s="1" t="s">
        <v>123</v>
      </c>
      <c r="G17" s="1" t="s">
        <v>124</v>
      </c>
      <c r="H17" s="1" t="s">
        <v>124</v>
      </c>
      <c r="I17" s="1" t="s">
        <v>8</v>
      </c>
      <c r="K17" s="1" t="s">
        <v>120</v>
      </c>
      <c r="L17" s="1" t="s">
        <v>125</v>
      </c>
      <c r="M17" s="1">
        <v>21</v>
      </c>
      <c r="N17" s="1">
        <v>10</v>
      </c>
      <c r="Q17" s="2">
        <v>45582</v>
      </c>
    </row>
    <row r="18" spans="1:23" s="1" customFormat="1" ht="135.94999999999999">
      <c r="A18" s="1" t="s">
        <v>23</v>
      </c>
      <c r="B18" s="1" t="s">
        <v>126</v>
      </c>
      <c r="C18" s="1" t="s">
        <v>127</v>
      </c>
      <c r="D18" s="1" t="s">
        <v>128</v>
      </c>
      <c r="E18" s="1" t="s">
        <v>27</v>
      </c>
      <c r="F18" s="1" t="s">
        <v>129</v>
      </c>
      <c r="G18" s="1" t="s">
        <v>130</v>
      </c>
      <c r="I18" s="1" t="s">
        <v>8</v>
      </c>
      <c r="K18" s="1" t="s">
        <v>126</v>
      </c>
      <c r="L18" s="1" t="s">
        <v>131</v>
      </c>
      <c r="M18" s="1">
        <v>320</v>
      </c>
      <c r="N18" s="1">
        <v>99</v>
      </c>
      <c r="P18" s="1" t="s">
        <v>74</v>
      </c>
      <c r="Q18" s="2">
        <v>45636</v>
      </c>
    </row>
    <row r="19" spans="1:23" s="1" customFormat="1" ht="119.1">
      <c r="A19" s="1" t="s">
        <v>23</v>
      </c>
      <c r="B19" s="1" t="s">
        <v>132</v>
      </c>
      <c r="C19" s="1" t="s">
        <v>133</v>
      </c>
      <c r="D19" s="1" t="s">
        <v>134</v>
      </c>
      <c r="E19" s="1" t="s">
        <v>27</v>
      </c>
      <c r="F19" s="1">
        <v>12</v>
      </c>
      <c r="G19" s="1" t="s">
        <v>135</v>
      </c>
      <c r="H19" s="1" t="s">
        <v>136</v>
      </c>
      <c r="I19" s="1" t="s">
        <v>8</v>
      </c>
      <c r="K19" s="1" t="s">
        <v>132</v>
      </c>
      <c r="L19" s="1" t="s">
        <v>137</v>
      </c>
      <c r="M19" s="1">
        <v>96</v>
      </c>
      <c r="N19" s="1">
        <v>10</v>
      </c>
      <c r="P19" s="1" t="s">
        <v>138</v>
      </c>
      <c r="Q19" s="2">
        <v>45582</v>
      </c>
    </row>
    <row r="20" spans="1:23" s="1" customFormat="1" ht="255">
      <c r="A20" s="1" t="s">
        <v>23</v>
      </c>
      <c r="B20" s="1" t="s">
        <v>139</v>
      </c>
      <c r="C20" s="1" t="s">
        <v>140</v>
      </c>
      <c r="D20" s="1" t="s">
        <v>141</v>
      </c>
      <c r="E20" s="1" t="s">
        <v>27</v>
      </c>
      <c r="F20" s="1">
        <v>3</v>
      </c>
      <c r="G20" s="1" t="s">
        <v>142</v>
      </c>
      <c r="I20" s="1" t="s">
        <v>8</v>
      </c>
      <c r="K20" s="1" t="s">
        <v>143</v>
      </c>
      <c r="L20" s="1" t="s">
        <v>144</v>
      </c>
      <c r="M20" s="1">
        <v>352</v>
      </c>
      <c r="N20" s="1">
        <v>20</v>
      </c>
      <c r="P20" s="1" t="s">
        <v>145</v>
      </c>
      <c r="Q20" s="2">
        <v>45790</v>
      </c>
      <c r="R20" s="1" t="s">
        <v>146</v>
      </c>
      <c r="S20" s="1" t="s">
        <v>147</v>
      </c>
      <c r="T20" s="1" t="s">
        <v>57</v>
      </c>
      <c r="U20" s="1" t="s">
        <v>148</v>
      </c>
    </row>
    <row r="21" spans="1:23" s="1" customFormat="1" ht="68.099999999999994">
      <c r="A21" s="1" t="s">
        <v>149</v>
      </c>
      <c r="B21" s="1" t="s">
        <v>24</v>
      </c>
      <c r="C21" s="1" t="s">
        <v>150</v>
      </c>
      <c r="D21" s="1" t="s">
        <v>151</v>
      </c>
      <c r="E21" s="1" t="s">
        <v>27</v>
      </c>
      <c r="F21" s="1" t="s">
        <v>152</v>
      </c>
      <c r="G21" s="1" t="s">
        <v>153</v>
      </c>
      <c r="H21" s="1" t="s">
        <v>153</v>
      </c>
      <c r="I21" s="1" t="s">
        <v>8</v>
      </c>
      <c r="K21" s="1" t="s">
        <v>24</v>
      </c>
      <c r="L21" s="1" t="s">
        <v>154</v>
      </c>
      <c r="M21" s="1">
        <v>2</v>
      </c>
      <c r="N21" s="1">
        <v>99</v>
      </c>
      <c r="O21" s="1">
        <v>10</v>
      </c>
      <c r="P21" s="1" t="s">
        <v>155</v>
      </c>
      <c r="Q21" s="2">
        <v>45727</v>
      </c>
      <c r="S21" s="1" t="s">
        <v>156</v>
      </c>
      <c r="T21" s="1" t="s">
        <v>57</v>
      </c>
      <c r="U21" s="1" t="s">
        <v>157</v>
      </c>
      <c r="W21" s="1" t="s">
        <v>158</v>
      </c>
    </row>
    <row r="22" spans="1:23" s="1" customFormat="1" ht="135.94999999999999">
      <c r="A22" s="1" t="s">
        <v>149</v>
      </c>
      <c r="B22" s="1" t="s">
        <v>24</v>
      </c>
      <c r="C22" s="1" t="s">
        <v>150</v>
      </c>
      <c r="D22" s="1" t="s">
        <v>159</v>
      </c>
      <c r="E22" s="1" t="s">
        <v>27</v>
      </c>
      <c r="F22" s="1" t="s">
        <v>160</v>
      </c>
      <c r="G22" s="1" t="s">
        <v>161</v>
      </c>
      <c r="H22" s="1" t="s">
        <v>162</v>
      </c>
      <c r="I22" s="1" t="s">
        <v>8</v>
      </c>
      <c r="J22" s="1" t="b">
        <v>0</v>
      </c>
      <c r="K22" s="1" t="s">
        <v>24</v>
      </c>
      <c r="L22" s="1" t="s">
        <v>163</v>
      </c>
      <c r="M22" s="1">
        <v>2</v>
      </c>
      <c r="N22" s="1">
        <v>99</v>
      </c>
      <c r="O22" s="1">
        <v>10</v>
      </c>
      <c r="P22" s="1" t="s">
        <v>164</v>
      </c>
      <c r="Q22" s="2">
        <v>45693</v>
      </c>
      <c r="S22" s="1" t="s">
        <v>165</v>
      </c>
      <c r="T22" s="1" t="s">
        <v>57</v>
      </c>
      <c r="U22" s="1" t="s">
        <v>166</v>
      </c>
      <c r="W22" s="1" t="s">
        <v>158</v>
      </c>
    </row>
    <row r="23" spans="1:23" s="1" customFormat="1" ht="170.1">
      <c r="A23" s="1" t="s">
        <v>149</v>
      </c>
      <c r="B23" s="1" t="s">
        <v>59</v>
      </c>
      <c r="C23" s="1" t="s">
        <v>167</v>
      </c>
      <c r="D23" s="1" t="s">
        <v>168</v>
      </c>
      <c r="E23" s="1" t="s">
        <v>27</v>
      </c>
      <c r="F23" s="1" t="s">
        <v>169</v>
      </c>
      <c r="G23" s="1" t="s">
        <v>169</v>
      </c>
      <c r="H23" s="1" t="s">
        <v>170</v>
      </c>
      <c r="I23" s="1" t="s">
        <v>8</v>
      </c>
      <c r="J23" s="1" t="b">
        <v>1</v>
      </c>
      <c r="K23" s="1" t="s">
        <v>171</v>
      </c>
      <c r="L23" s="1" t="s">
        <v>172</v>
      </c>
      <c r="M23" s="1">
        <v>11</v>
      </c>
      <c r="N23" s="1">
        <v>30</v>
      </c>
      <c r="O23" s="1">
        <v>20</v>
      </c>
      <c r="P23" s="1" t="s">
        <v>173</v>
      </c>
      <c r="Q23" s="2">
        <v>45839</v>
      </c>
      <c r="S23" s="1" t="s">
        <v>174</v>
      </c>
      <c r="T23" s="1" t="s">
        <v>57</v>
      </c>
      <c r="U23" s="1" t="s">
        <v>175</v>
      </c>
      <c r="V23" s="1" t="s">
        <v>176</v>
      </c>
      <c r="W23" s="1" t="s">
        <v>59</v>
      </c>
    </row>
    <row r="24" spans="1:23" s="1" customFormat="1" ht="170.1">
      <c r="A24" s="1" t="s">
        <v>149</v>
      </c>
      <c r="B24" s="1" t="s">
        <v>83</v>
      </c>
      <c r="C24" s="1" t="s">
        <v>177</v>
      </c>
      <c r="D24" s="1" t="s">
        <v>178</v>
      </c>
      <c r="E24" s="1" t="s">
        <v>27</v>
      </c>
      <c r="F24" s="1" t="s">
        <v>179</v>
      </c>
      <c r="G24" s="1" t="s">
        <v>179</v>
      </c>
      <c r="H24" s="1" t="s">
        <v>180</v>
      </c>
      <c r="I24" s="1" t="s">
        <v>87</v>
      </c>
      <c r="J24" s="1" t="b">
        <v>0</v>
      </c>
      <c r="K24" s="1" t="s">
        <v>181</v>
      </c>
      <c r="L24" s="1" t="s">
        <v>182</v>
      </c>
      <c r="M24" s="1">
        <v>13</v>
      </c>
      <c r="N24" s="1">
        <v>99</v>
      </c>
      <c r="O24" s="1">
        <v>10</v>
      </c>
      <c r="Q24" s="2">
        <v>45603</v>
      </c>
      <c r="W24" s="1" t="s">
        <v>183</v>
      </c>
    </row>
    <row r="25" spans="1:23" s="1" customFormat="1" ht="153">
      <c r="A25" s="1" t="s">
        <v>149</v>
      </c>
      <c r="B25" s="1" t="s">
        <v>83</v>
      </c>
      <c r="C25" s="1" t="s">
        <v>177</v>
      </c>
      <c r="D25" s="1" t="s">
        <v>184</v>
      </c>
      <c r="E25" s="1" t="s">
        <v>27</v>
      </c>
      <c r="F25" s="1" t="s">
        <v>185</v>
      </c>
      <c r="G25" s="1" t="s">
        <v>185</v>
      </c>
      <c r="H25" s="1" t="s">
        <v>186</v>
      </c>
      <c r="I25" s="1" t="s">
        <v>87</v>
      </c>
      <c r="J25" s="1" t="b">
        <v>0</v>
      </c>
      <c r="K25" s="1" t="s">
        <v>187</v>
      </c>
      <c r="L25" s="1" t="s">
        <v>188</v>
      </c>
      <c r="M25" s="1">
        <v>1</v>
      </c>
      <c r="N25" s="1">
        <v>99</v>
      </c>
      <c r="O25" s="1">
        <v>10</v>
      </c>
      <c r="P25" s="1" t="s">
        <v>189</v>
      </c>
      <c r="Q25" s="2">
        <v>45826</v>
      </c>
      <c r="T25" s="1" t="s">
        <v>57</v>
      </c>
      <c r="U25" s="1" t="s">
        <v>190</v>
      </c>
      <c r="V25" s="1" t="e">
        <f ca="1">--CHANGE_FILL_LOCATION_ELIGIBLE
--CHANGE_FILL_LOCATION_INELIGIBLE
--EXPEDITE_ELIGIBILITY
--CANCEL_ELIGIBILITY</f>
        <v>#NAME?</v>
      </c>
      <c r="W25" s="1" t="s">
        <v>183</v>
      </c>
    </row>
    <row r="26" spans="1:23" s="1" customFormat="1" ht="186.95">
      <c r="A26" s="1" t="s">
        <v>149</v>
      </c>
      <c r="B26" s="1" t="s">
        <v>92</v>
      </c>
      <c r="C26" s="1" t="s">
        <v>167</v>
      </c>
      <c r="D26" s="1" t="s">
        <v>191</v>
      </c>
      <c r="E26" s="1" t="s">
        <v>27</v>
      </c>
      <c r="F26" s="1">
        <v>18</v>
      </c>
      <c r="G26" s="1" t="s">
        <v>192</v>
      </c>
      <c r="I26" s="1" t="s">
        <v>193</v>
      </c>
      <c r="J26" s="1" t="b">
        <v>0</v>
      </c>
      <c r="K26" s="1" t="s">
        <v>194</v>
      </c>
      <c r="L26" s="1" t="s">
        <v>195</v>
      </c>
      <c r="M26" s="1">
        <v>115</v>
      </c>
      <c r="N26" s="1">
        <v>99</v>
      </c>
      <c r="O26" s="1">
        <v>55</v>
      </c>
      <c r="Q26" s="2">
        <v>45603</v>
      </c>
      <c r="V26" s="1" t="s">
        <v>196</v>
      </c>
      <c r="W26" s="1" t="s">
        <v>92</v>
      </c>
    </row>
    <row r="27" spans="1:23" s="1" customFormat="1" ht="84.95">
      <c r="A27" s="1" t="s">
        <v>149</v>
      </c>
      <c r="B27" s="1" t="s">
        <v>98</v>
      </c>
      <c r="C27" s="1" t="s">
        <v>99</v>
      </c>
      <c r="D27" s="1" t="s">
        <v>197</v>
      </c>
      <c r="E27" s="1" t="s">
        <v>27</v>
      </c>
      <c r="F27" s="1" t="s">
        <v>198</v>
      </c>
      <c r="G27" s="1" t="s">
        <v>199</v>
      </c>
      <c r="H27" s="1" t="s">
        <v>199</v>
      </c>
      <c r="I27" s="1" t="s">
        <v>8</v>
      </c>
      <c r="K27" s="1" t="s">
        <v>54</v>
      </c>
      <c r="L27" s="1" t="s">
        <v>200</v>
      </c>
      <c r="M27" s="1">
        <v>18</v>
      </c>
      <c r="N27" s="1">
        <v>10</v>
      </c>
      <c r="P27" s="1" t="s">
        <v>201</v>
      </c>
      <c r="Q27" s="2">
        <v>45616</v>
      </c>
      <c r="W27" s="1" t="s">
        <v>158</v>
      </c>
    </row>
    <row r="28" spans="1:23" s="1" customFormat="1" ht="221.1">
      <c r="A28" s="1" t="s">
        <v>149</v>
      </c>
      <c r="B28" s="1" t="s">
        <v>105</v>
      </c>
      <c r="C28" s="1" t="s">
        <v>202</v>
      </c>
      <c r="D28" s="1" t="s">
        <v>203</v>
      </c>
      <c r="E28" s="1" t="s">
        <v>27</v>
      </c>
      <c r="F28" s="1" t="s">
        <v>204</v>
      </c>
      <c r="G28" s="1" t="s">
        <v>205</v>
      </c>
      <c r="H28" s="1" t="s">
        <v>205</v>
      </c>
      <c r="I28" s="1" t="s">
        <v>72</v>
      </c>
      <c r="K28" s="1" t="s">
        <v>206</v>
      </c>
      <c r="L28" s="1" t="s">
        <v>207</v>
      </c>
      <c r="M28" s="1">
        <v>10</v>
      </c>
      <c r="N28" s="1">
        <v>99</v>
      </c>
      <c r="O28" s="1">
        <v>10</v>
      </c>
      <c r="P28" s="1" t="s">
        <v>208</v>
      </c>
      <c r="Q28" s="2">
        <v>45603</v>
      </c>
      <c r="W28" s="1" t="s">
        <v>72</v>
      </c>
    </row>
    <row r="29" spans="1:23" s="1" customFormat="1" ht="186.95">
      <c r="A29" s="1" t="s">
        <v>149</v>
      </c>
      <c r="B29" s="1" t="s">
        <v>126</v>
      </c>
      <c r="C29" s="1" t="s">
        <v>209</v>
      </c>
      <c r="D29" s="1" t="s">
        <v>128</v>
      </c>
      <c r="E29" s="1" t="s">
        <v>27</v>
      </c>
      <c r="F29" s="1">
        <v>20</v>
      </c>
      <c r="G29" s="1" t="s">
        <v>210</v>
      </c>
      <c r="I29" s="1" t="s">
        <v>8</v>
      </c>
      <c r="J29" s="1" t="b">
        <v>1</v>
      </c>
      <c r="K29" s="1" t="s">
        <v>126</v>
      </c>
      <c r="L29" s="1" t="s">
        <v>211</v>
      </c>
      <c r="M29" s="1">
        <v>170</v>
      </c>
      <c r="N29" s="1">
        <v>99</v>
      </c>
      <c r="O29" s="1">
        <v>58</v>
      </c>
      <c r="P29" s="1" t="s">
        <v>212</v>
      </c>
      <c r="Q29" s="2">
        <v>45826</v>
      </c>
      <c r="R29" s="1" t="s">
        <v>213</v>
      </c>
      <c r="S29" s="1" t="s">
        <v>214</v>
      </c>
      <c r="T29" s="1" t="s">
        <v>57</v>
      </c>
      <c r="U29" s="1" t="s">
        <v>190</v>
      </c>
      <c r="V29" s="1" t="e">
        <f ca="1">--INACTIVATE_ELIGIBILITY
--CHANGE_FILL_LOCATION_ELIGIBLE
--CHANGE_FILL_LOCATION_INELIGIBLE
--CHANGE_PRESCRIBER_FUTURE_RENEW</f>
        <v>#NAME?</v>
      </c>
      <c r="W29" s="1" t="s">
        <v>59</v>
      </c>
    </row>
    <row r="30" spans="1:23" s="1" customFormat="1" ht="186.95">
      <c r="A30" s="1" t="s">
        <v>149</v>
      </c>
      <c r="B30" s="1" t="s">
        <v>126</v>
      </c>
      <c r="C30" s="1" t="s">
        <v>209</v>
      </c>
      <c r="D30" s="1" t="s">
        <v>215</v>
      </c>
      <c r="E30" s="1" t="s">
        <v>27</v>
      </c>
      <c r="F30" s="1" t="s">
        <v>216</v>
      </c>
      <c r="G30" s="1" t="s">
        <v>217</v>
      </c>
      <c r="H30" s="1" t="s">
        <v>217</v>
      </c>
      <c r="I30" s="1" t="s">
        <v>8</v>
      </c>
      <c r="J30" s="1" t="b">
        <v>1</v>
      </c>
      <c r="K30" s="1" t="s">
        <v>171</v>
      </c>
      <c r="L30" s="1" t="s">
        <v>218</v>
      </c>
      <c r="M30" s="1">
        <v>10.9</v>
      </c>
      <c r="N30" s="1">
        <v>99</v>
      </c>
      <c r="O30" s="1">
        <v>10</v>
      </c>
      <c r="P30" s="1" t="s">
        <v>219</v>
      </c>
      <c r="Q30" s="2">
        <v>45826</v>
      </c>
      <c r="R30" s="1" t="s">
        <v>220</v>
      </c>
      <c r="S30" s="1" t="s">
        <v>214</v>
      </c>
      <c r="T30" s="1" t="s">
        <v>57</v>
      </c>
      <c r="U30" s="1" t="s">
        <v>190</v>
      </c>
      <c r="W30" s="1" t="s">
        <v>59</v>
      </c>
    </row>
    <row r="31" spans="1:23" s="1" customFormat="1" ht="339.95">
      <c r="A31" s="1" t="s">
        <v>149</v>
      </c>
      <c r="B31" s="1" t="s">
        <v>139</v>
      </c>
      <c r="C31" s="1" t="s">
        <v>140</v>
      </c>
      <c r="D31" s="1" t="s">
        <v>221</v>
      </c>
      <c r="E31" s="1" t="s">
        <v>27</v>
      </c>
      <c r="F31" s="1">
        <v>21</v>
      </c>
      <c r="G31" s="1" t="s">
        <v>222</v>
      </c>
      <c r="I31" s="1" t="s">
        <v>8</v>
      </c>
      <c r="J31" s="1" t="b">
        <v>0</v>
      </c>
      <c r="K31" s="1" t="s">
        <v>223</v>
      </c>
      <c r="L31" s="1" t="s">
        <v>224</v>
      </c>
      <c r="M31" s="1">
        <v>180</v>
      </c>
      <c r="N31" s="1">
        <v>20</v>
      </c>
      <c r="O31" s="1">
        <v>35</v>
      </c>
      <c r="P31" s="1" t="s">
        <v>225</v>
      </c>
      <c r="Q31" s="2">
        <v>45862</v>
      </c>
      <c r="R31" s="1" t="s">
        <v>226</v>
      </c>
      <c r="S31" s="1" t="s">
        <v>227</v>
      </c>
      <c r="T31" s="1" t="s">
        <v>57</v>
      </c>
      <c r="U31" s="1" t="s">
        <v>228</v>
      </c>
      <c r="W31" s="1" t="s">
        <v>140</v>
      </c>
    </row>
    <row r="32" spans="1:23" s="1" customFormat="1" ht="68.099999999999994">
      <c r="A32" s="1" t="s">
        <v>149</v>
      </c>
      <c r="B32" s="1" t="s">
        <v>229</v>
      </c>
      <c r="C32" s="1" t="s">
        <v>230</v>
      </c>
      <c r="D32" s="1" t="s">
        <v>231</v>
      </c>
      <c r="E32" s="1" t="s">
        <v>27</v>
      </c>
      <c r="F32" s="1" t="s">
        <v>232</v>
      </c>
      <c r="G32" s="1" t="s">
        <v>233</v>
      </c>
      <c r="I32" s="1" t="s">
        <v>8</v>
      </c>
      <c r="J32" s="1" t="b">
        <v>0</v>
      </c>
      <c r="K32" s="1" t="s">
        <v>54</v>
      </c>
      <c r="M32" s="1">
        <v>1</v>
      </c>
      <c r="N32" s="1">
        <v>10</v>
      </c>
      <c r="O32" s="1">
        <v>10</v>
      </c>
      <c r="T32" s="1" t="s">
        <v>57</v>
      </c>
      <c r="W32" s="1" t="s">
        <v>158</v>
      </c>
    </row>
    <row r="33" spans="1:23" s="1" customFormat="1" ht="51">
      <c r="A33" s="1" t="s">
        <v>149</v>
      </c>
      <c r="B33" s="1" t="s">
        <v>120</v>
      </c>
      <c r="C33" s="1" t="s">
        <v>234</v>
      </c>
      <c r="E33" s="1" t="s">
        <v>27</v>
      </c>
      <c r="F33" s="1">
        <v>5</v>
      </c>
      <c r="G33" s="1" t="s">
        <v>235</v>
      </c>
      <c r="H33" s="1" t="s">
        <v>236</v>
      </c>
      <c r="I33" s="1" t="s">
        <v>8</v>
      </c>
      <c r="J33" s="1" t="b">
        <v>0</v>
      </c>
      <c r="K33" s="1" t="s">
        <v>237</v>
      </c>
      <c r="L33" s="1" t="s">
        <v>238</v>
      </c>
      <c r="M33" s="1">
        <v>3</v>
      </c>
      <c r="N33" s="1">
        <v>10</v>
      </c>
      <c r="O33" s="1">
        <v>5</v>
      </c>
      <c r="P33" s="1" t="s">
        <v>239</v>
      </c>
      <c r="Q33" s="2">
        <v>45742</v>
      </c>
      <c r="T33" s="1" t="s">
        <v>57</v>
      </c>
      <c r="U33" s="1" t="s">
        <v>240</v>
      </c>
      <c r="W33" s="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Hahn, Shawn</dc:creator>
  <cp:keywords/>
  <dc:description/>
  <cp:lastModifiedBy/>
  <cp:revision/>
  <dcterms:created xsi:type="dcterms:W3CDTF">2025-10-03T18:00:20Z</dcterms:created>
  <dcterms:modified xsi:type="dcterms:W3CDTF">2025-10-22T10:18:28Z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2025-10-03T18:16:47Z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1987dbdb-2ce4-4730-88f0-f95f5ebfcad8</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